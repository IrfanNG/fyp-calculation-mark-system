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mar_/StudioProjects/unikl/form_slide/"/>
    </mc:Choice>
  </mc:AlternateContent>
  <xr:revisionPtr revIDLastSave="0" documentId="13_ncr:1_{BEE4976A-E713-F645-8C58-5F765A68DCEE}" xr6:coauthVersionLast="47" xr6:coauthVersionMax="47" xr10:uidLastSave="{00000000-0000-0000-0000-000000000000}"/>
  <bookViews>
    <workbookView xWindow="0" yWindow="680" windowWidth="28800" windowHeight="15400" activeTab="2" xr2:uid="{00000000-000D-0000-FFFF-FFFF00000000}"/>
  </bookViews>
  <sheets>
    <sheet name="Total Progress" sheetId="6" r:id="rId1"/>
    <sheet name="Progress - Week14" sheetId="4" r:id="rId2"/>
    <sheet name="Progress 1 - Topic Defens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5" l="1"/>
  <c r="H15" i="5" l="1"/>
  <c r="H17" i="5"/>
  <c r="H19" i="5"/>
  <c r="H21" i="5"/>
  <c r="C2" i="6"/>
  <c r="H13" i="4"/>
  <c r="H22" i="5" l="1"/>
  <c r="H23" i="5" s="1"/>
  <c r="C3" i="6" s="1"/>
  <c r="H15" i="4"/>
  <c r="H17" i="4"/>
  <c r="H19" i="4"/>
  <c r="H21" i="4"/>
  <c r="H22" i="4" l="1"/>
  <c r="H23" i="4" s="1"/>
  <c r="C4" i="6" s="1"/>
  <c r="C5" i="6" s="1"/>
</calcChain>
</file>

<file path=xl/sharedStrings.xml><?xml version="1.0" encoding="utf-8"?>
<sst xmlns="http://schemas.openxmlformats.org/spreadsheetml/2006/main" count="195" uniqueCount="81">
  <si>
    <t> </t>
  </si>
  <si>
    <t>Total Progress SV</t>
  </si>
  <si>
    <t>Student  Name:</t>
  </si>
  <si>
    <t>Progress (Week 4 - 6 topic defense)</t>
  </si>
  <si>
    <t>Progress (Week14)</t>
  </si>
  <si>
    <t>Average</t>
  </si>
  <si>
    <t>IPB 49804 - FINAL YEAR PROJECT 1</t>
  </si>
  <si>
    <t>PROJECT PROGRESS</t>
  </si>
  <si>
    <t>Student's Name:</t>
  </si>
  <si>
    <t>ID. No:</t>
  </si>
  <si>
    <t>Programme:</t>
  </si>
  <si>
    <t>BCSS</t>
  </si>
  <si>
    <t>Course Code:</t>
  </si>
  <si>
    <t xml:space="preserve">IPB 49804 </t>
  </si>
  <si>
    <t>Project Title:</t>
  </si>
  <si>
    <t>Supervisor:</t>
  </si>
  <si>
    <t>LOG BOOK ASSESSMENT</t>
  </si>
  <si>
    <t>CRITERIA</t>
  </si>
  <si>
    <t>WEIGHTAGE</t>
  </si>
  <si>
    <t>SCORE</t>
  </si>
  <si>
    <t>ACTUAL SCORE</t>
  </si>
  <si>
    <t>1. Consultation with Supervisor</t>
  </si>
  <si>
    <t>1-2</t>
  </si>
  <si>
    <t>3-4</t>
  </si>
  <si>
    <t>5-6</t>
  </si>
  <si>
    <t>7-8</t>
  </si>
  <si>
    <t>9-10</t>
  </si>
  <si>
    <t>2. Timelines</t>
  </si>
  <si>
    <t>3. Research Progress</t>
  </si>
  <si>
    <t>● Project management according to Gantt chart                                                                                                                                                 ● Literature review comparison                         ● Methodology model selection                                  ● Cumulative expected outcome</t>
  </si>
  <si>
    <t>4 Project Aim</t>
  </si>
  <si>
    <t>5. Self-driven &amp; Independency</t>
  </si>
  <si>
    <t>TOTAL SCORE (20)</t>
  </si>
  <si>
    <t>PERCENTAGE (20%)</t>
  </si>
  <si>
    <t>VERIFICATION</t>
  </si>
  <si>
    <t>Assessed by:</t>
  </si>
  <si>
    <t>Signature:</t>
  </si>
  <si>
    <t>WPB 49804 / Form 1 / Project Progress / V 1.0</t>
  </si>
  <si>
    <t>STANDARD AND SCORE</t>
  </si>
  <si>
    <r>
      <t xml:space="preserve">1. Consultation with Supervisor                          </t>
    </r>
    <r>
      <rPr>
        <sz val="8.5"/>
        <color theme="1"/>
        <rFont val="Times New Roman"/>
        <family val="1"/>
      </rPr>
      <t xml:space="preserve">● Meet supervisor for FYP-related discussion.                                                     ● Seek advice for problem encountered                                                           ● Target:  5 times    </t>
    </r>
    <r>
      <rPr>
        <b/>
        <sz val="8.5"/>
        <color theme="1"/>
        <rFont val="Times New Roman"/>
        <family val="1"/>
      </rPr>
      <t xml:space="preserve">
</t>
    </r>
  </si>
  <si>
    <t xml:space="preserve">● Meet less than 2 times       ● No update given 
</t>
  </si>
  <si>
    <t xml:space="preserve">● Meet more than 2 times but less than 5 times                    ● Minimum details of the project given 
 </t>
  </si>
  <si>
    <t xml:space="preserve">● Meet at least 5 times         ● Provide technical details             ● Share problems and difficulties.         
</t>
  </si>
  <si>
    <t xml:space="preserve">● Meet at least 6 times                    ●  Provide technical details       ●  Share initial findings              ●  Share problems and difficulties and come with solutions   
</t>
  </si>
  <si>
    <t xml:space="preserve">● Meet 7 times and above    ●  Provide technical details      ●  Share relevant findings              ●  Always share results outcome                              ●  All problems are resolved  
</t>
  </si>
  <si>
    <r>
      <t xml:space="preserve">2. Timelines                                                     </t>
    </r>
    <r>
      <rPr>
        <sz val="8.5"/>
        <color theme="1"/>
        <rFont val="Times New Roman"/>
        <family val="1"/>
      </rPr>
      <t>FYP milestone                                                        ●Introduction                                                          ● Literature review                                                 ●  Data collection                                                   ● Visual representation                                           ● System architecture and flow                                                                                                            ●  Results outcome                                                 ●  Drafting of the chapters.</t>
    </r>
  </si>
  <si>
    <t>● Unable to follow timelines.
● Logbook is very poorly maintained by leaving it blank.</t>
  </si>
  <si>
    <t>● Most of the time fall behind schedule.
● Logbook is poorly maintained with some remarks  from supervisor.</t>
  </si>
  <si>
    <t>● Most of the time following timelines.
● Logbook is satisfactorily maintained with some remarks and comments.</t>
  </si>
  <si>
    <t>● Meets and follows timelines.
● Logbook is regularly maintained.                               ● Remarks, progress status and feedback from the supervisor are updated.</t>
  </si>
  <si>
    <t>● Highly meets and follows the timelines.
● Logbook is well maintained                         ● Remarks, progress status and feedback from the supervisor are updated and clearly written.</t>
  </si>
  <si>
    <r>
      <rPr>
        <b/>
        <sz val="8.5"/>
        <color theme="1"/>
        <rFont val="Times New Roman"/>
        <family val="1"/>
      </rPr>
      <t xml:space="preserve">3. Research progress                                          </t>
    </r>
    <r>
      <rPr>
        <sz val="8.5"/>
        <color theme="1"/>
        <rFont val="Times New Roman"/>
        <family val="1"/>
      </rPr>
      <t>● Project management according to Gantt chart                                                                                                                                                 ● Literature review comparison                              ● Methodology model selection                                  ● Cumulative expected outcome</t>
    </r>
  </si>
  <si>
    <t xml:space="preserve">● Very little details recorded about the project progress.                      ● Did not follow the milestone in the Gantt chart.
</t>
  </si>
  <si>
    <t xml:space="preserve">● Some details detail recorded about the project progress.                      ● Slower than the milestone in the Gantt chart.
</t>
  </si>
  <si>
    <t xml:space="preserve">● Adequate detail provided about the project progress.    ●  Able to follow the milestone in the Gantt chart
</t>
  </si>
  <si>
    <t xml:space="preserve">● A complete record of the project progress.                    ●  More than 3 literatures reviewed from the existing approaches/tools ●Appriopriate selection of methodology model </t>
  </si>
  <si>
    <t>●An outperformed record of the project progress              ● More than 5 literatures reviewed from the existing approaches/tools                   ● Appriopriate selection of methodology model                   ● Creatively made improvements from existing work and provide reflection about the strategies used and the results.</t>
  </si>
  <si>
    <t xml:space="preserve">4. Project Aim                                                     Project aligned with:                                             ● System security                                                  ● Network security                                             ● Application security                                         ● Web security                                                    ● OS security                                                       ● Software security                                              ● IOT security </t>
  </si>
  <si>
    <t xml:space="preserve">● The project lacks evident alignment with its intended aim, particularly in the application of knowledge within the security-related domain.
</t>
  </si>
  <si>
    <t xml:space="preserve">● The project exhibits minimal and fundamental evidence of alignment with its intended aim, specifically in the application of knowledge within the security-related domain.
</t>
  </si>
  <si>
    <t xml:space="preserve">● The project exhibits partial evidence of alignment with its intended aim, particularly in the application of knowledge within the security-related area.
</t>
  </si>
  <si>
    <t>●  The project provides substantial evidence of alignment with its intended aim, particularly in the application of knowledge within the security-related area.</t>
  </si>
  <si>
    <t xml:space="preserve">● The project shows  extensive and sufficient evidence of alignment with its intended aim, particularly in the application of knowledge within the security-related area.
</t>
  </si>
  <si>
    <t xml:space="preserve">5. Self-driven &amp;
Independency                                                  Student shows:                                                     ● Ability to perform independently                     ● Good initiative                                                  ● Self-competence                                               ● Responsive
</t>
  </si>
  <si>
    <t xml:space="preserve">●  Highly dependent
and need to work with
maximum supervision          ● Spoon-feeding needed at all time                               ● Pessimistic                            ● Non-responsive
</t>
  </si>
  <si>
    <t>● Dependent and need to
work with maximum
supervision 
● Limited initiative                  ● Less positive thinking           ● Less responsive</t>
  </si>
  <si>
    <t xml:space="preserve">● Independent and able to
work with some supervision   ● Good initative                   ● Positive thinking                ● Responsive
</t>
  </si>
  <si>
    <t>● Independent and able to 
work with minimum
supervision
● Strong initiative                  ● High self confidence and preseverance                        ● Always responsive</t>
  </si>
  <si>
    <t>● Highly independent and
able to work with very
minimum supervision            ● Always well-prepared
● Strong determination, confidence and preseverance   ● Highly responsive with well-structured plans.</t>
  </si>
  <si>
    <t>3. Research Components</t>
  </si>
  <si>
    <t>4. Project Aim / Alignment to Computer Systems Security</t>
  </si>
  <si>
    <t xml:space="preserve">Project aligned with any of the following (or any related):                                             ● System security                                                 ● Mobile security                                     ● Network security                                          ● Application security                              ● Web security                                           ● OS security                                               ● Software security                                                        ● IOT security                                                         ● Biometric Security                                                               ● Blockchain Security                         </t>
  </si>
  <si>
    <t xml:space="preserve">●Meet supervisor for FYP-related discussion.                                                     ● Seek advice for problem encountered                                                          </t>
  </si>
  <si>
    <t>FYP milestones:                                        ● Introduction                                            ● Literature review                                    ● Data collection (if any)                                     ● Visual representation                             ● Drafting of chapters.</t>
  </si>
  <si>
    <t>● Attend scheduled meeting for topic discussion
● Present proposed title and problem statement
● Seek feedback on scope and feasibility
● Record supervisor’s comments and action plan</t>
  </si>
  <si>
    <t>2. Proposal and Early planning</t>
  </si>
  <si>
    <t xml:space="preserve"> ● Introduction and background of study
  ● Problem statement
  ● Objectives and research questions
  ● Preliminary literature review (minimum key sources)
  ● Proposed methodology (conceptual level)
  ● Initial Gantt chart (semester planning)</t>
  </si>
  <si>
    <t>Student demonstrates:
● Clear understanding of research problem
● Justification of project relevance
● Initial comparison of related works
● Identification of suitable methodology/model
● Expected contribution or outcome clearly stated</t>
  </si>
  <si>
    <t>Project aligned with any of the following (or any related) / Student able to justify:                                            ● System security                                ● Mobile security                                 ● Network security                                          ● Application security                              ● Web security                                           ● OS security                                               ● Software security                                       ● IOT security                                        ● Biometric Security                            ● Blockchain Security                         ● AI in Security</t>
  </si>
  <si>
    <t>Student shows:                                             ● Ability to explain idea clearly
● Confidence during defense / meeting session
● Presents progress in a clear, structured, and academically coherent manner.
● Openness to feedback and improvement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</si>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</sst>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b/>
      <sz val="8.5"/>
      <color theme="1"/>
      <name val="Times New Roman"/>
      <family val="1"/>
    </font>
    <font>
      <i/>
      <sz val="9"/>
      <color theme="1"/>
      <name val="Calibri"/>
      <family val="2"/>
      <scheme val="minor"/>
    </font>
    <font>
      <sz val="8.5"/>
      <color theme="1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4"/>
      <color rgb="FF000000"/>
      <name val="Calibri"/>
      <family val="2"/>
    </font>
    <font>
      <sz val="11"/>
      <color theme="4" tint="-0.249977111117893"/>
      <name val="Calibri"/>
      <family val="2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rgb="FFE4E4E4"/>
        <bgColor indexed="64"/>
      </patternFill>
    </fill>
    <fill>
      <patternFill patternType="solid">
        <fgColor rgb="FFFFD966"/>
        <bgColor rgb="FF00000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49" fontId="1" fillId="3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2" fillId="0" borderId="0" xfId="0" applyFont="1" applyProtection="1">
      <protection locked="0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3" fillId="6" borderId="7" xfId="0" applyFont="1" applyFill="1" applyBorder="1" applyAlignment="1">
      <alignment vertical="center" wrapText="1"/>
    </xf>
    <xf numFmtId="0" fontId="2" fillId="0" borderId="0" xfId="0" applyFont="1"/>
    <xf numFmtId="0" fontId="3" fillId="6" borderId="8" xfId="0" applyFont="1" applyFill="1" applyBorder="1" applyAlignment="1">
      <alignment vertical="center" wrapText="1"/>
    </xf>
    <xf numFmtId="16" fontId="3" fillId="6" borderId="11" xfId="0" quotePrefix="1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 applyProtection="1">
      <alignment horizontal="center"/>
      <protection locked="0"/>
    </xf>
    <xf numFmtId="164" fontId="0" fillId="5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3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3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18" xfId="0" applyFont="1" applyBorder="1" applyAlignment="1">
      <alignment vertical="top" wrapText="1"/>
    </xf>
    <xf numFmtId="0" fontId="3" fillId="0" borderId="15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6" fillId="7" borderId="1" xfId="0" applyFont="1" applyFill="1" applyBorder="1"/>
    <xf numFmtId="0" fontId="6" fillId="0" borderId="5" xfId="0" applyFont="1" applyBorder="1"/>
    <xf numFmtId="0" fontId="6" fillId="0" borderId="25" xfId="0" applyFont="1" applyBorder="1"/>
    <xf numFmtId="0" fontId="6" fillId="0" borderId="0" xfId="0" applyFont="1"/>
    <xf numFmtId="0" fontId="8" fillId="0" borderId="25" xfId="0" applyFont="1" applyBorder="1"/>
    <xf numFmtId="0" fontId="6" fillId="0" borderId="27" xfId="0" applyFont="1" applyBorder="1"/>
    <xf numFmtId="0" fontId="7" fillId="7" borderId="26" xfId="0" applyFont="1" applyFill="1" applyBorder="1"/>
    <xf numFmtId="0" fontId="9" fillId="7" borderId="26" xfId="0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4" xfId="0" applyFont="1" applyBorder="1"/>
    <xf numFmtId="0" fontId="11" fillId="0" borderId="4" xfId="0" applyFont="1" applyBorder="1"/>
    <xf numFmtId="0" fontId="3" fillId="6" borderId="14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0" fillId="0" borderId="1" xfId="0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7" fillId="0" borderId="2" xfId="0" applyFont="1" applyBorder="1"/>
    <xf numFmtId="0" fontId="7" fillId="0" borderId="4" xfId="0" applyFont="1" applyBorder="1"/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  <color rgb="FF00FF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5" sqref="C5"/>
    </sheetView>
  </sheetViews>
  <sheetFormatPr baseColWidth="10" defaultColWidth="8.83203125" defaultRowHeight="15" x14ac:dyDescent="0.2"/>
  <cols>
    <col min="2" max="2" width="31.83203125" customWidth="1"/>
    <col min="3" max="3" width="31.1640625" customWidth="1"/>
  </cols>
  <sheetData>
    <row r="1" spans="1:3" ht="31.5" customHeight="1" x14ac:dyDescent="0.25">
      <c r="A1" s="35" t="s">
        <v>0</v>
      </c>
      <c r="B1" s="42" t="s">
        <v>1</v>
      </c>
      <c r="C1" s="41"/>
    </row>
    <row r="2" spans="1:3" x14ac:dyDescent="0.2">
      <c r="A2" s="36" t="s">
        <v>0</v>
      </c>
      <c r="B2" s="40" t="s">
        <v>2</v>
      </c>
      <c r="C2" s="43">
        <f>'Progress 1 - Topic Defense'!B4</f>
        <v>0</v>
      </c>
    </row>
    <row r="3" spans="1:3" x14ac:dyDescent="0.2">
      <c r="A3" s="36">
        <v>1</v>
      </c>
      <c r="B3" s="37" t="s">
        <v>3</v>
      </c>
      <c r="C3" s="44">
        <f>'Progress 1 - Topic Defense'!H23</f>
        <v>0</v>
      </c>
    </row>
    <row r="4" spans="1:3" x14ac:dyDescent="0.2">
      <c r="A4" s="36">
        <v>2</v>
      </c>
      <c r="B4" s="37" t="s">
        <v>4</v>
      </c>
      <c r="C4" s="44">
        <f>'Progress - Week14'!H23</f>
        <v>0</v>
      </c>
    </row>
    <row r="5" spans="1:3" x14ac:dyDescent="0.2">
      <c r="A5" s="36">
        <v>3</v>
      </c>
      <c r="B5" s="39" t="s">
        <v>5</v>
      </c>
      <c r="C5" s="45">
        <f xml:space="preserve"> AVERAGE(C3:C4)</f>
        <v>0</v>
      </c>
    </row>
    <row r="6" spans="1:3" x14ac:dyDescent="0.2">
      <c r="A6" s="38"/>
      <c r="B6" s="38"/>
      <c r="C6" s="38"/>
    </row>
    <row r="7" spans="1:3" x14ac:dyDescent="0.2">
      <c r="A7" s="38"/>
      <c r="B7" s="38"/>
      <c r="C7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topLeftCell="A19" zoomScale="90" zoomScaleNormal="90" zoomScaleSheetLayoutView="96" workbookViewId="0">
      <selection activeCell="L15" sqref="L15"/>
    </sheetView>
  </sheetViews>
  <sheetFormatPr baseColWidth="10" defaultColWidth="9.1640625" defaultRowHeight="15" x14ac:dyDescent="0.2"/>
  <cols>
    <col min="1" max="1" width="32" style="1" customWidth="1"/>
    <col min="2" max="2" width="17.6640625" style="1" customWidth="1"/>
    <col min="3" max="3" width="18.6640625" style="1" customWidth="1"/>
    <col min="4" max="4" width="18.1640625" style="1" customWidth="1"/>
    <col min="5" max="5" width="18.6640625" style="1" customWidth="1"/>
    <col min="6" max="6" width="18.1640625" style="1" customWidth="1"/>
    <col min="7" max="7" width="16.33203125" style="1" customWidth="1"/>
    <col min="8" max="8" width="18.5" style="1" customWidth="1"/>
    <col min="9" max="16384" width="9.1640625" style="1"/>
  </cols>
  <sheetData>
    <row r="1" spans="1:8" x14ac:dyDescent="0.2">
      <c r="A1" s="58" t="s">
        <v>6</v>
      </c>
      <c r="B1" s="58"/>
      <c r="C1" s="58"/>
      <c r="D1" s="58"/>
      <c r="E1" s="58"/>
      <c r="F1" s="58"/>
      <c r="G1" s="58"/>
      <c r="H1" s="58"/>
    </row>
    <row r="2" spans="1:8" x14ac:dyDescent="0.2">
      <c r="A2" s="8"/>
      <c r="B2" s="8"/>
      <c r="C2" s="8"/>
      <c r="D2" s="8"/>
      <c r="E2" s="8"/>
      <c r="F2" s="8"/>
      <c r="G2" s="59" t="s">
        <v>7</v>
      </c>
      <c r="H2" s="59"/>
    </row>
    <row r="3" spans="1:8" x14ac:dyDescent="0.2">
      <c r="A3"/>
      <c r="B3"/>
      <c r="C3"/>
      <c r="D3"/>
      <c r="E3"/>
      <c r="F3"/>
      <c r="G3"/>
      <c r="H3"/>
    </row>
    <row r="4" spans="1:8" x14ac:dyDescent="0.2">
      <c r="A4" s="9" t="s">
        <v>8</v>
      </c>
      <c r="B4" s="49"/>
      <c r="C4" s="49"/>
      <c r="D4" s="49"/>
      <c r="E4" s="49"/>
      <c r="F4" s="49"/>
      <c r="G4" s="2" t="s">
        <v>9</v>
      </c>
      <c r="H4" s="2"/>
    </row>
    <row r="5" spans="1:8" x14ac:dyDescent="0.2">
      <c r="A5" s="9" t="s">
        <v>10</v>
      </c>
      <c r="B5" s="49" t="s">
        <v>11</v>
      </c>
      <c r="C5" s="49"/>
      <c r="D5" s="49"/>
      <c r="E5" s="49"/>
      <c r="F5" s="49"/>
      <c r="G5" s="49"/>
      <c r="H5" s="49"/>
    </row>
    <row r="6" spans="1:8" x14ac:dyDescent="0.2">
      <c r="A6" s="9" t="s">
        <v>12</v>
      </c>
      <c r="B6" s="49" t="s">
        <v>13</v>
      </c>
      <c r="C6" s="49"/>
      <c r="D6" s="49"/>
      <c r="E6" s="49"/>
      <c r="F6" s="49"/>
      <c r="G6" s="49"/>
      <c r="H6" s="49"/>
    </row>
    <row r="7" spans="1:8" x14ac:dyDescent="0.2">
      <c r="A7" s="9" t="s">
        <v>14</v>
      </c>
      <c r="B7" s="49"/>
      <c r="C7" s="49"/>
      <c r="D7" s="49"/>
      <c r="E7" s="49"/>
      <c r="F7" s="49"/>
      <c r="G7" s="49"/>
      <c r="H7" s="49"/>
    </row>
    <row r="8" spans="1:8" x14ac:dyDescent="0.2">
      <c r="A8" s="9" t="s">
        <v>15</v>
      </c>
      <c r="B8" s="49"/>
      <c r="C8" s="49"/>
      <c r="D8" s="49"/>
      <c r="E8" s="49"/>
      <c r="F8" s="49"/>
      <c r="G8" s="49"/>
      <c r="H8" s="49"/>
    </row>
    <row r="9" spans="1:8" x14ac:dyDescent="0.2">
      <c r="A9"/>
      <c r="B9"/>
      <c r="C9"/>
      <c r="D9"/>
      <c r="E9"/>
      <c r="F9"/>
      <c r="G9"/>
      <c r="H9"/>
    </row>
    <row r="10" spans="1:8" x14ac:dyDescent="0.2">
      <c r="A10" s="10" t="s">
        <v>16</v>
      </c>
      <c r="B10"/>
      <c r="C10"/>
      <c r="D10"/>
      <c r="E10"/>
      <c r="F10"/>
      <c r="G10"/>
      <c r="H10"/>
    </row>
    <row r="11" spans="1:8" x14ac:dyDescent="0.2">
      <c r="A11" s="4" t="s">
        <v>17</v>
      </c>
      <c r="B11" s="4" t="s">
        <v>18</v>
      </c>
      <c r="C11" s="50" t="s">
        <v>19</v>
      </c>
      <c r="D11" s="50"/>
      <c r="E11" s="50"/>
      <c r="F11" s="50"/>
      <c r="G11" s="50"/>
      <c r="H11" s="4" t="s">
        <v>20</v>
      </c>
    </row>
    <row r="12" spans="1:8" x14ac:dyDescent="0.2">
      <c r="A12" s="5" t="s">
        <v>21</v>
      </c>
      <c r="B12" s="51">
        <v>4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15"/>
    </row>
    <row r="13" spans="1:8" ht="112" x14ac:dyDescent="0.2">
      <c r="A13" s="16" t="s">
        <v>74</v>
      </c>
      <c r="B13" s="52"/>
      <c r="C13" s="17"/>
      <c r="D13" s="17"/>
      <c r="E13" s="17"/>
      <c r="F13" s="17"/>
      <c r="G13" s="17"/>
      <c r="H13" s="18">
        <f>SUM(C13:G13)/10*B12</f>
        <v>0</v>
      </c>
    </row>
    <row r="14" spans="1:8" x14ac:dyDescent="0.2">
      <c r="A14" s="5" t="s">
        <v>75</v>
      </c>
      <c r="B14" s="51">
        <v>4</v>
      </c>
      <c r="C14" s="3" t="s">
        <v>22</v>
      </c>
      <c r="D14" s="3" t="s">
        <v>23</v>
      </c>
      <c r="E14" s="3" t="s">
        <v>24</v>
      </c>
      <c r="F14" s="3" t="s">
        <v>25</v>
      </c>
      <c r="G14" s="3" t="s">
        <v>26</v>
      </c>
      <c r="H14" s="19"/>
    </row>
    <row r="15" spans="1:8" ht="160" x14ac:dyDescent="0.2">
      <c r="A15" s="16" t="s">
        <v>76</v>
      </c>
      <c r="B15" s="52"/>
      <c r="C15" s="17"/>
      <c r="D15" s="17"/>
      <c r="E15" s="17"/>
      <c r="F15" s="17"/>
      <c r="G15" s="17"/>
      <c r="H15" s="18">
        <f>SUM(C15:G15)/10*B14</f>
        <v>0</v>
      </c>
    </row>
    <row r="16" spans="1:8" x14ac:dyDescent="0.2">
      <c r="A16" s="5" t="s">
        <v>28</v>
      </c>
      <c r="B16" s="51">
        <v>4</v>
      </c>
      <c r="C16" s="3" t="s">
        <v>22</v>
      </c>
      <c r="D16" s="3" t="s">
        <v>23</v>
      </c>
      <c r="E16" s="3" t="s">
        <v>24</v>
      </c>
      <c r="F16" s="3" t="s">
        <v>25</v>
      </c>
      <c r="G16" s="3" t="s">
        <v>26</v>
      </c>
      <c r="H16" s="19"/>
    </row>
    <row r="17" spans="1:8" ht="144" x14ac:dyDescent="0.2">
      <c r="A17" s="16" t="s">
        <v>77</v>
      </c>
      <c r="B17" s="52"/>
      <c r="C17" s="20"/>
      <c r="D17" s="20"/>
      <c r="E17" s="20"/>
      <c r="F17" s="20"/>
      <c r="G17" s="20"/>
      <c r="H17" s="18">
        <f>SUM(C17:G17)/10*B16</f>
        <v>0</v>
      </c>
    </row>
    <row r="18" spans="1:8" x14ac:dyDescent="0.2">
      <c r="A18" s="5" t="s">
        <v>30</v>
      </c>
      <c r="B18" s="51">
        <v>4</v>
      </c>
      <c r="C18" s="3" t="s">
        <v>22</v>
      </c>
      <c r="D18" s="3" t="s">
        <v>23</v>
      </c>
      <c r="E18" s="3" t="s">
        <v>24</v>
      </c>
      <c r="F18" s="3" t="s">
        <v>25</v>
      </c>
      <c r="G18" s="3" t="s">
        <v>26</v>
      </c>
      <c r="H18" s="19"/>
    </row>
    <row r="19" spans="1:8" ht="192" x14ac:dyDescent="0.2">
      <c r="A19" s="16" t="s">
        <v>78</v>
      </c>
      <c r="B19" s="52"/>
      <c r="C19" s="17"/>
      <c r="D19" s="17"/>
      <c r="E19" s="17"/>
      <c r="F19" s="17"/>
      <c r="G19" s="17"/>
      <c r="H19" s="18">
        <f>SUM(C19:G19)/10*B16</f>
        <v>0</v>
      </c>
    </row>
    <row r="20" spans="1:8" ht="16" x14ac:dyDescent="0.2">
      <c r="A20" s="6" t="s">
        <v>31</v>
      </c>
      <c r="B20" s="51">
        <v>4</v>
      </c>
      <c r="C20" s="3" t="s">
        <v>22</v>
      </c>
      <c r="D20" s="3" t="s">
        <v>23</v>
      </c>
      <c r="E20" s="3" t="s">
        <v>24</v>
      </c>
      <c r="F20" s="3" t="s">
        <v>25</v>
      </c>
      <c r="G20" s="3" t="s">
        <v>26</v>
      </c>
      <c r="H20" s="19"/>
    </row>
    <row r="21" spans="1:8" ht="144" x14ac:dyDescent="0.2">
      <c r="A21" s="16" t="s">
        <v>79</v>
      </c>
      <c r="B21" s="52"/>
      <c r="C21" s="17"/>
      <c r="D21" s="17"/>
      <c r="E21" s="17"/>
      <c r="F21" s="17"/>
      <c r="G21" s="17"/>
      <c r="H21" s="18">
        <f>SUM(C21:G21)/10*B20</f>
        <v>0</v>
      </c>
    </row>
    <row r="22" spans="1:8" x14ac:dyDescent="0.2">
      <c r="A22" s="53" t="s">
        <v>32</v>
      </c>
      <c r="B22" s="53"/>
      <c r="C22" s="53"/>
      <c r="D22" s="53"/>
      <c r="E22" s="53"/>
      <c r="F22" s="53"/>
      <c r="G22" s="53"/>
      <c r="H22" s="18">
        <f>SUM(H13,H15,H17,H19,H21)</f>
        <v>0</v>
      </c>
    </row>
    <row r="23" spans="1:8" x14ac:dyDescent="0.2">
      <c r="A23" s="54" t="s">
        <v>33</v>
      </c>
      <c r="B23" s="55"/>
      <c r="C23" s="55"/>
      <c r="D23" s="55"/>
      <c r="E23" s="55"/>
      <c r="F23" s="55"/>
      <c r="G23" s="56"/>
      <c r="H23" s="18">
        <f>(H22/20)*20</f>
        <v>0</v>
      </c>
    </row>
    <row r="24" spans="1:8" x14ac:dyDescent="0.2">
      <c r="A24"/>
      <c r="B24"/>
      <c r="C24"/>
      <c r="D24"/>
      <c r="E24"/>
      <c r="F24"/>
      <c r="G24" s="21"/>
      <c r="H24" s="21"/>
    </row>
    <row r="25" spans="1:8" x14ac:dyDescent="0.2">
      <c r="A25" s="10" t="s">
        <v>34</v>
      </c>
      <c r="B25"/>
      <c r="C25"/>
      <c r="D25"/>
      <c r="E25"/>
      <c r="F25"/>
      <c r="G25"/>
      <c r="H25"/>
    </row>
    <row r="26" spans="1:8" ht="22.5" customHeight="1" x14ac:dyDescent="0.2">
      <c r="A26" s="9" t="s">
        <v>35</v>
      </c>
      <c r="B26" s="57"/>
      <c r="C26" s="57"/>
      <c r="D26" s="57"/>
      <c r="E26" s="57"/>
      <c r="F26" s="57"/>
      <c r="G26" s="57"/>
      <c r="H26" s="57"/>
    </row>
    <row r="27" spans="1:8" ht="22.5" customHeight="1" x14ac:dyDescent="0.2">
      <c r="A27" s="9" t="s">
        <v>36</v>
      </c>
      <c r="B27" s="57"/>
      <c r="C27" s="57"/>
      <c r="D27" s="57"/>
      <c r="E27" s="57"/>
      <c r="F27" s="57"/>
      <c r="G27" s="57"/>
      <c r="H27" s="57"/>
    </row>
    <row r="28" spans="1:8" x14ac:dyDescent="0.2">
      <c r="A28"/>
      <c r="B28"/>
      <c r="C28"/>
      <c r="D28"/>
      <c r="E28"/>
      <c r="F28"/>
      <c r="G28"/>
      <c r="H28"/>
    </row>
    <row r="29" spans="1:8" x14ac:dyDescent="0.2">
      <c r="A29" s="10" t="s">
        <v>34</v>
      </c>
      <c r="B29"/>
      <c r="C29"/>
      <c r="D29"/>
      <c r="E29"/>
      <c r="F29"/>
      <c r="G29"/>
      <c r="H29"/>
    </row>
    <row r="30" spans="1:8" x14ac:dyDescent="0.2">
      <c r="A30" t="s">
        <v>37</v>
      </c>
      <c r="B30"/>
      <c r="C30"/>
      <c r="D30"/>
      <c r="E30"/>
      <c r="F30"/>
      <c r="G30"/>
      <c r="H30"/>
    </row>
    <row r="31" spans="1:8" ht="16" thickBot="1" x14ac:dyDescent="0.25">
      <c r="A31"/>
      <c r="B31"/>
      <c r="C31"/>
      <c r="D31"/>
      <c r="E31"/>
      <c r="F31"/>
      <c r="G31"/>
      <c r="H31"/>
    </row>
    <row r="32" spans="1:8" s="7" customFormat="1" ht="12" x14ac:dyDescent="0.15">
      <c r="A32" s="11"/>
      <c r="B32" s="46" t="s">
        <v>38</v>
      </c>
      <c r="C32" s="47"/>
      <c r="D32" s="47"/>
      <c r="E32" s="47"/>
      <c r="F32" s="48"/>
      <c r="G32" s="12"/>
      <c r="H32" s="12"/>
    </row>
    <row r="33" spans="1:8" s="7" customFormat="1" ht="13" x14ac:dyDescent="0.15">
      <c r="A33" s="13" t="s">
        <v>17</v>
      </c>
      <c r="B33" s="14" t="s">
        <v>22</v>
      </c>
      <c r="C33" s="14" t="s">
        <v>23</v>
      </c>
      <c r="D33" s="14" t="s">
        <v>24</v>
      </c>
      <c r="E33" s="14" t="s">
        <v>25</v>
      </c>
      <c r="F33" s="14" t="s">
        <v>26</v>
      </c>
      <c r="G33" s="12"/>
      <c r="H33" s="12"/>
    </row>
    <row r="34" spans="1:8" s="7" customFormat="1" ht="104" x14ac:dyDescent="0.15">
      <c r="A34" s="22" t="s">
        <v>39</v>
      </c>
      <c r="B34" s="23" t="s">
        <v>40</v>
      </c>
      <c r="C34" s="23" t="s">
        <v>41</v>
      </c>
      <c r="D34" s="23" t="s">
        <v>42</v>
      </c>
      <c r="E34" s="23" t="s">
        <v>43</v>
      </c>
      <c r="F34" s="23" t="s">
        <v>44</v>
      </c>
      <c r="G34" s="12"/>
      <c r="H34" s="12"/>
    </row>
    <row r="35" spans="1:8" s="7" customFormat="1" ht="117" x14ac:dyDescent="0.15">
      <c r="A35" s="24" t="s">
        <v>45</v>
      </c>
      <c r="B35" s="25" t="s">
        <v>46</v>
      </c>
      <c r="C35" s="25" t="s">
        <v>47</v>
      </c>
      <c r="D35" s="25" t="s">
        <v>48</v>
      </c>
      <c r="E35" s="25" t="s">
        <v>49</v>
      </c>
      <c r="F35" s="26" t="s">
        <v>50</v>
      </c>
      <c r="G35" s="12"/>
      <c r="H35" s="12"/>
    </row>
    <row r="36" spans="1:8" s="7" customFormat="1" ht="137.5" customHeight="1" x14ac:dyDescent="0.15">
      <c r="A36" s="27" t="s">
        <v>51</v>
      </c>
      <c r="B36" s="28" t="s">
        <v>52</v>
      </c>
      <c r="C36" s="28" t="s">
        <v>53</v>
      </c>
      <c r="D36" s="29" t="s">
        <v>54</v>
      </c>
      <c r="E36" s="28" t="s">
        <v>55</v>
      </c>
      <c r="F36" s="30" t="s">
        <v>56</v>
      </c>
      <c r="G36" s="12"/>
      <c r="H36" s="12"/>
    </row>
    <row r="37" spans="1:8" s="7" customFormat="1" ht="117" x14ac:dyDescent="0.15">
      <c r="A37" s="31" t="s">
        <v>57</v>
      </c>
      <c r="B37" s="25" t="s">
        <v>58</v>
      </c>
      <c r="C37" s="25" t="s">
        <v>59</v>
      </c>
      <c r="D37" s="25" t="s">
        <v>60</v>
      </c>
      <c r="E37" s="25" t="s">
        <v>61</v>
      </c>
      <c r="F37" s="26" t="s">
        <v>62</v>
      </c>
      <c r="G37" s="12"/>
      <c r="H37" s="12"/>
    </row>
    <row r="38" spans="1:8" s="7" customFormat="1" ht="117" x14ac:dyDescent="0.15">
      <c r="A38" s="32" t="s">
        <v>63</v>
      </c>
      <c r="B38" s="33" t="s">
        <v>64</v>
      </c>
      <c r="C38" s="33" t="s">
        <v>65</v>
      </c>
      <c r="D38" s="33" t="s">
        <v>66</v>
      </c>
      <c r="E38" s="33" t="s">
        <v>67</v>
      </c>
      <c r="F38" s="34" t="s">
        <v>68</v>
      </c>
      <c r="G38" s="12"/>
      <c r="H38" s="12"/>
    </row>
    <row r="39" spans="1:8" s="7" customFormat="1" ht="12" x14ac:dyDescent="0.15"/>
    <row r="40" spans="1:8" s="7" customFormat="1" ht="12" x14ac:dyDescent="0.15"/>
    <row r="41" spans="1:8" s="7" customFormat="1" ht="12" x14ac:dyDescent="0.15"/>
    <row r="42" spans="1:8" s="7" customFormat="1" ht="12" x14ac:dyDescent="0.15"/>
  </sheetData>
  <sheetProtection selectLockedCells="1"/>
  <mergeCells count="18">
    <mergeCell ref="B32:F32"/>
    <mergeCell ref="B20:B21"/>
    <mergeCell ref="A22:G22"/>
    <mergeCell ref="A23:G23"/>
    <mergeCell ref="B26:H26"/>
    <mergeCell ref="B27:H27"/>
    <mergeCell ref="B18:B19"/>
    <mergeCell ref="A1:H1"/>
    <mergeCell ref="G2:H2"/>
    <mergeCell ref="B4:F4"/>
    <mergeCell ref="B5:H5"/>
    <mergeCell ref="B6:H6"/>
    <mergeCell ref="B7:H7"/>
    <mergeCell ref="B8:H8"/>
    <mergeCell ref="C11:G11"/>
    <mergeCell ref="B12:B13"/>
    <mergeCell ref="B14:B15"/>
    <mergeCell ref="B16:B17"/>
  </mergeCells>
  <printOptions horizontalCentered="1"/>
  <pageMargins left="0.11811023622047245" right="0.11811023622047245" top="1.1023622047244095" bottom="0.70866141732283472" header="0.11811023622047245" footer="0.11811023622047245"/>
  <pageSetup paperSize="9"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2"/>
  <sheetViews>
    <sheetView tabSelected="1" zoomScale="98" zoomScaleNormal="98" zoomScaleSheetLayoutView="96" workbookViewId="0">
      <selection activeCell="A21" sqref="A21"/>
    </sheetView>
  </sheetViews>
  <sheetFormatPr baseColWidth="10" defaultColWidth="9.1640625" defaultRowHeight="15" x14ac:dyDescent="0.2"/>
  <cols>
    <col min="1" max="1" width="32" style="1" customWidth="1"/>
    <col min="2" max="2" width="17.6640625" style="1" customWidth="1"/>
    <col min="3" max="3" width="18.6640625" style="1" customWidth="1"/>
    <col min="4" max="4" width="18.1640625" style="1" customWidth="1"/>
    <col min="5" max="5" width="18.6640625" style="1" customWidth="1"/>
    <col min="6" max="6" width="18.1640625" style="1" customWidth="1"/>
    <col min="7" max="7" width="16.33203125" style="1" customWidth="1"/>
    <col min="8" max="8" width="18.5" style="1" customWidth="1"/>
    <col min="9" max="16384" width="9.1640625" style="1"/>
  </cols>
  <sheetData>
    <row r="1" spans="1:8" x14ac:dyDescent="0.2">
      <c r="A1" s="58" t="s">
        <v>6</v>
      </c>
      <c r="B1" s="58"/>
      <c r="C1" s="58"/>
      <c r="D1" s="58"/>
      <c r="E1" s="58"/>
      <c r="F1" s="58"/>
      <c r="G1" s="58"/>
      <c r="H1" s="58"/>
    </row>
    <row r="2" spans="1:8" x14ac:dyDescent="0.2">
      <c r="A2" s="8"/>
      <c r="B2" s="8"/>
      <c r="C2" s="8"/>
      <c r="D2" s="8"/>
      <c r="E2" s="8"/>
      <c r="F2" s="8"/>
      <c r="G2" s="59" t="s">
        <v>7</v>
      </c>
      <c r="H2" s="59"/>
    </row>
    <row r="3" spans="1:8" x14ac:dyDescent="0.2">
      <c r="A3"/>
      <c r="B3"/>
      <c r="C3"/>
      <c r="D3"/>
      <c r="E3"/>
      <c r="F3"/>
      <c r="G3"/>
      <c r="H3"/>
    </row>
    <row r="4" spans="1:8" x14ac:dyDescent="0.2">
      <c r="A4" s="9" t="s">
        <v>8</v>
      </c>
      <c r="B4" s="60"/>
      <c r="C4" s="61"/>
      <c r="D4" s="61"/>
      <c r="E4" s="61"/>
      <c r="F4" s="62"/>
      <c r="G4" s="2" t="s">
        <v>9</v>
      </c>
      <c r="H4" s="2"/>
    </row>
    <row r="5" spans="1:8" x14ac:dyDescent="0.2">
      <c r="A5" s="9" t="s">
        <v>10</v>
      </c>
      <c r="B5" s="49" t="s">
        <v>11</v>
      </c>
      <c r="C5" s="49"/>
      <c r="D5" s="49"/>
      <c r="E5" s="49"/>
      <c r="F5" s="49"/>
      <c r="G5" s="49"/>
      <c r="H5" s="49"/>
    </row>
    <row r="6" spans="1:8" x14ac:dyDescent="0.2">
      <c r="A6" s="9" t="s">
        <v>12</v>
      </c>
      <c r="B6" s="49" t="s">
        <v>13</v>
      </c>
      <c r="C6" s="49"/>
      <c r="D6" s="49"/>
      <c r="E6" s="49"/>
      <c r="F6" s="49"/>
      <c r="G6" s="49"/>
      <c r="H6" s="49"/>
    </row>
    <row r="7" spans="1:8" x14ac:dyDescent="0.2">
      <c r="A7" s="9" t="s">
        <v>14</v>
      </c>
      <c r="B7" s="49"/>
      <c r="C7" s="49"/>
      <c r="D7" s="49"/>
      <c r="E7" s="49"/>
      <c r="F7" s="49"/>
      <c r="G7" s="49"/>
      <c r="H7" s="49"/>
    </row>
    <row r="8" spans="1:8" x14ac:dyDescent="0.2">
      <c r="A8" s="9" t="s">
        <v>15</v>
      </c>
      <c r="B8" s="49"/>
      <c r="C8" s="49"/>
      <c r="D8" s="49"/>
      <c r="E8" s="49"/>
      <c r="F8" s="49"/>
      <c r="G8" s="49"/>
      <c r="H8" s="49"/>
    </row>
    <row r="9" spans="1:8" x14ac:dyDescent="0.2">
      <c r="A9"/>
      <c r="B9"/>
      <c r="C9"/>
      <c r="D9"/>
      <c r="E9"/>
      <c r="F9"/>
      <c r="G9"/>
      <c r="H9"/>
    </row>
    <row r="10" spans="1:8" x14ac:dyDescent="0.2">
      <c r="A10" s="10" t="s">
        <v>16</v>
      </c>
      <c r="B10"/>
      <c r="C10"/>
      <c r="D10"/>
      <c r="E10"/>
      <c r="F10"/>
      <c r="G10"/>
      <c r="H10"/>
    </row>
    <row r="11" spans="1:8" x14ac:dyDescent="0.2">
      <c r="A11" s="4" t="s">
        <v>17</v>
      </c>
      <c r="B11" s="4" t="s">
        <v>18</v>
      </c>
      <c r="C11" s="50" t="s">
        <v>19</v>
      </c>
      <c r="D11" s="50"/>
      <c r="E11" s="50"/>
      <c r="F11" s="50"/>
      <c r="G11" s="50"/>
      <c r="H11" s="4" t="s">
        <v>20</v>
      </c>
    </row>
    <row r="12" spans="1:8" x14ac:dyDescent="0.2">
      <c r="A12" s="5" t="s">
        <v>21</v>
      </c>
      <c r="B12" s="51">
        <v>4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15"/>
    </row>
    <row r="13" spans="1:8" ht="48" x14ac:dyDescent="0.2">
      <c r="A13" s="16" t="s">
        <v>72</v>
      </c>
      <c r="B13" s="52"/>
      <c r="C13" s="17"/>
      <c r="D13" s="17"/>
      <c r="E13" s="17"/>
      <c r="F13" s="17"/>
      <c r="G13" s="17"/>
      <c r="H13" s="18">
        <f>SUM(C13:G13)/10*B12</f>
        <v>0</v>
      </c>
    </row>
    <row r="14" spans="1:8" x14ac:dyDescent="0.2">
      <c r="A14" s="5" t="s">
        <v>27</v>
      </c>
      <c r="B14" s="51">
        <v>4</v>
      </c>
      <c r="C14" s="3" t="s">
        <v>22</v>
      </c>
      <c r="D14" s="3" t="s">
        <v>23</v>
      </c>
      <c r="E14" s="3" t="s">
        <v>24</v>
      </c>
      <c r="F14" s="3" t="s">
        <v>25</v>
      </c>
      <c r="G14" s="3" t="s">
        <v>26</v>
      </c>
      <c r="H14" s="19"/>
    </row>
    <row r="15" spans="1:8" ht="96" x14ac:dyDescent="0.2">
      <c r="A15" s="16" t="s">
        <v>73</v>
      </c>
      <c r="B15" s="52"/>
      <c r="C15" s="17"/>
      <c r="D15" s="17"/>
      <c r="E15" s="17"/>
      <c r="F15" s="17"/>
      <c r="G15" s="17"/>
      <c r="H15" s="18">
        <f>SUM(C15:G15)/10*B14</f>
        <v>0</v>
      </c>
    </row>
    <row r="16" spans="1:8" x14ac:dyDescent="0.2">
      <c r="A16" s="5" t="s">
        <v>69</v>
      </c>
      <c r="B16" s="51">
        <v>4</v>
      </c>
      <c r="C16" s="3" t="s">
        <v>22</v>
      </c>
      <c r="D16" s="3" t="s">
        <v>23</v>
      </c>
      <c r="E16" s="3" t="s">
        <v>24</v>
      </c>
      <c r="F16" s="3" t="s">
        <v>25</v>
      </c>
      <c r="G16" s="3" t="s">
        <v>26</v>
      </c>
      <c r="H16" s="19"/>
    </row>
    <row r="17" spans="1:8" ht="80" x14ac:dyDescent="0.2">
      <c r="A17" s="16" t="s">
        <v>29</v>
      </c>
      <c r="B17" s="52"/>
      <c r="C17" s="20"/>
      <c r="D17" s="20"/>
      <c r="E17" s="20"/>
      <c r="F17" s="20"/>
      <c r="G17" s="20"/>
      <c r="H17" s="18">
        <f>SUM(C17:G17)/10*B16</f>
        <v>0</v>
      </c>
    </row>
    <row r="18" spans="1:8" ht="32" x14ac:dyDescent="0.2">
      <c r="A18" s="6" t="s">
        <v>70</v>
      </c>
      <c r="B18" s="51">
        <v>5</v>
      </c>
      <c r="C18" s="3" t="s">
        <v>22</v>
      </c>
      <c r="D18" s="3" t="s">
        <v>23</v>
      </c>
      <c r="E18" s="3" t="s">
        <v>24</v>
      </c>
      <c r="F18" s="3" t="s">
        <v>25</v>
      </c>
      <c r="G18" s="3" t="s">
        <v>26</v>
      </c>
      <c r="H18" s="19"/>
    </row>
    <row r="19" spans="1:8" ht="176" x14ac:dyDescent="0.2">
      <c r="A19" s="16" t="s">
        <v>71</v>
      </c>
      <c r="B19" s="52"/>
      <c r="C19" s="17"/>
      <c r="D19" s="17"/>
      <c r="E19" s="17"/>
      <c r="F19" s="17"/>
      <c r="G19" s="17"/>
      <c r="H19" s="18">
        <f>SUM(C19:G19)/10*B16</f>
        <v>0</v>
      </c>
    </row>
    <row r="20" spans="1:8" ht="16" x14ac:dyDescent="0.2">
      <c r="A20" s="6" t="s">
        <v>31</v>
      </c>
      <c r="B20" s="51">
        <v>4</v>
      </c>
      <c r="C20" s="3" t="s">
        <v>22</v>
      </c>
      <c r="D20" s="3" t="s">
        <v>23</v>
      </c>
      <c r="E20" s="3" t="s">
        <v>24</v>
      </c>
      <c r="F20" s="3" t="s">
        <v>25</v>
      </c>
      <c r="G20" s="3" t="s">
        <v>26</v>
      </c>
      <c r="H20" s="19"/>
    </row>
    <row r="21" spans="1:8" ht="16" x14ac:dyDescent="0.2">
      <c r="A21" s="16" t="s">
        <v>80</v>
      </c>
      <c r="B21" s="52"/>
      <c r="C21" s="17"/>
      <c r="D21" s="17"/>
      <c r="E21" s="17"/>
      <c r="F21" s="17"/>
      <c r="G21" s="17"/>
      <c r="H21" s="18">
        <f>SUM(C21:G21)/10*B20</f>
        <v>0</v>
      </c>
    </row>
    <row r="22" spans="1:8" x14ac:dyDescent="0.2">
      <c r="A22" s="53" t="s">
        <v>32</v>
      </c>
      <c r="B22" s="53"/>
      <c r="C22" s="53"/>
      <c r="D22" s="53"/>
      <c r="E22" s="53"/>
      <c r="F22" s="53"/>
      <c r="G22" s="53"/>
      <c r="H22" s="18">
        <f>SUM(H13,H15,H17,H19,H21)</f>
        <v>0</v>
      </c>
    </row>
    <row r="23" spans="1:8" x14ac:dyDescent="0.2">
      <c r="A23" s="54" t="s">
        <v>33</v>
      </c>
      <c r="B23" s="55"/>
      <c r="C23" s="55"/>
      <c r="D23" s="55"/>
      <c r="E23" s="55"/>
      <c r="F23" s="55"/>
      <c r="G23" s="56"/>
      <c r="H23" s="18">
        <f>(H22/20)*20</f>
        <v>0</v>
      </c>
    </row>
    <row r="24" spans="1:8" x14ac:dyDescent="0.2">
      <c r="A24"/>
      <c r="B24"/>
      <c r="C24"/>
      <c r="D24"/>
      <c r="E24"/>
      <c r="F24"/>
      <c r="G24" s="21"/>
      <c r="H24" s="21"/>
    </row>
    <row r="25" spans="1:8" x14ac:dyDescent="0.2">
      <c r="A25" s="10" t="s">
        <v>34</v>
      </c>
      <c r="B25"/>
      <c r="C25"/>
      <c r="D25"/>
      <c r="E25"/>
      <c r="F25"/>
      <c r="G25"/>
      <c r="H25"/>
    </row>
    <row r="26" spans="1:8" ht="22.5" customHeight="1" x14ac:dyDescent="0.2">
      <c r="A26" s="9" t="s">
        <v>35</v>
      </c>
      <c r="B26" s="57"/>
      <c r="C26" s="57"/>
      <c r="D26" s="57"/>
      <c r="E26" s="57"/>
      <c r="F26" s="57"/>
      <c r="G26" s="57"/>
      <c r="H26" s="57"/>
    </row>
    <row r="27" spans="1:8" ht="22.5" customHeight="1" x14ac:dyDescent="0.2">
      <c r="A27" s="9" t="s">
        <v>36</v>
      </c>
      <c r="B27" s="57"/>
      <c r="C27" s="57"/>
      <c r="D27" s="57"/>
      <c r="E27" s="57"/>
      <c r="F27" s="57"/>
      <c r="G27" s="57"/>
      <c r="H27" s="57"/>
    </row>
    <row r="28" spans="1:8" x14ac:dyDescent="0.2">
      <c r="A28"/>
      <c r="B28"/>
      <c r="C28"/>
      <c r="D28"/>
      <c r="E28"/>
      <c r="F28"/>
      <c r="G28"/>
      <c r="H28"/>
    </row>
    <row r="29" spans="1:8" x14ac:dyDescent="0.2">
      <c r="A29" s="10" t="s">
        <v>34</v>
      </c>
      <c r="B29"/>
      <c r="C29"/>
      <c r="D29"/>
      <c r="E29"/>
      <c r="F29"/>
      <c r="G29"/>
      <c r="H29"/>
    </row>
    <row r="30" spans="1:8" x14ac:dyDescent="0.2">
      <c r="A30" t="s">
        <v>37</v>
      </c>
      <c r="B30"/>
      <c r="C30"/>
      <c r="D30"/>
      <c r="E30"/>
      <c r="F30"/>
      <c r="G30"/>
      <c r="H30"/>
    </row>
    <row r="31" spans="1:8" x14ac:dyDescent="0.2">
      <c r="A31"/>
      <c r="B31"/>
      <c r="C31"/>
      <c r="D31"/>
      <c r="E31"/>
      <c r="F31"/>
      <c r="G31"/>
      <c r="H31"/>
    </row>
    <row r="32" spans="1:8" s="7" customFormat="1" ht="12" x14ac:dyDescent="0.15">
      <c r="A32" s="11"/>
      <c r="B32" s="46" t="s">
        <v>38</v>
      </c>
      <c r="C32" s="47"/>
      <c r="D32" s="47"/>
      <c r="E32" s="47"/>
      <c r="F32" s="48"/>
      <c r="G32" s="12"/>
      <c r="H32" s="12"/>
    </row>
    <row r="33" spans="1:8" s="7" customFormat="1" ht="13" x14ac:dyDescent="0.15">
      <c r="A33" s="13" t="s">
        <v>17</v>
      </c>
      <c r="B33" s="14" t="s">
        <v>22</v>
      </c>
      <c r="C33" s="14" t="s">
        <v>23</v>
      </c>
      <c r="D33" s="14" t="s">
        <v>24</v>
      </c>
      <c r="E33" s="14" t="s">
        <v>25</v>
      </c>
      <c r="F33" s="14" t="s">
        <v>26</v>
      </c>
      <c r="G33" s="12"/>
      <c r="H33" s="12"/>
    </row>
    <row r="34" spans="1:8" s="7" customFormat="1" ht="104" x14ac:dyDescent="0.15">
      <c r="A34" s="22" t="s">
        <v>39</v>
      </c>
      <c r="B34" s="23" t="s">
        <v>40</v>
      </c>
      <c r="C34" s="23" t="s">
        <v>41</v>
      </c>
      <c r="D34" s="23" t="s">
        <v>42</v>
      </c>
      <c r="E34" s="23" t="s">
        <v>43</v>
      </c>
      <c r="F34" s="23" t="s">
        <v>44</v>
      </c>
      <c r="G34" s="12"/>
      <c r="H34" s="12"/>
    </row>
    <row r="35" spans="1:8" s="7" customFormat="1" ht="117" x14ac:dyDescent="0.15">
      <c r="A35" s="24" t="s">
        <v>45</v>
      </c>
      <c r="B35" s="25" t="s">
        <v>46</v>
      </c>
      <c r="C35" s="25" t="s">
        <v>47</v>
      </c>
      <c r="D35" s="25" t="s">
        <v>48</v>
      </c>
      <c r="E35" s="25" t="s">
        <v>49</v>
      </c>
      <c r="F35" s="26" t="s">
        <v>50</v>
      </c>
      <c r="G35" s="12"/>
      <c r="H35" s="12"/>
    </row>
    <row r="36" spans="1:8" s="7" customFormat="1" ht="137.5" customHeight="1" x14ac:dyDescent="0.15">
      <c r="A36" s="27" t="s">
        <v>51</v>
      </c>
      <c r="B36" s="28" t="s">
        <v>52</v>
      </c>
      <c r="C36" s="28" t="s">
        <v>53</v>
      </c>
      <c r="D36" s="29" t="s">
        <v>54</v>
      </c>
      <c r="E36" s="28" t="s">
        <v>55</v>
      </c>
      <c r="F36" s="30" t="s">
        <v>56</v>
      </c>
      <c r="G36" s="12"/>
      <c r="H36" s="12"/>
    </row>
    <row r="37" spans="1:8" s="7" customFormat="1" ht="117" x14ac:dyDescent="0.15">
      <c r="A37" s="31" t="s">
        <v>57</v>
      </c>
      <c r="B37" s="25" t="s">
        <v>58</v>
      </c>
      <c r="C37" s="25" t="s">
        <v>59</v>
      </c>
      <c r="D37" s="25" t="s">
        <v>60</v>
      </c>
      <c r="E37" s="25" t="s">
        <v>61</v>
      </c>
      <c r="F37" s="26" t="s">
        <v>62</v>
      </c>
      <c r="G37" s="12"/>
      <c r="H37" s="12"/>
    </row>
    <row r="38" spans="1:8" s="7" customFormat="1" ht="117" x14ac:dyDescent="0.15">
      <c r="A38" s="32" t="s">
        <v>63</v>
      </c>
      <c r="B38" s="33" t="s">
        <v>64</v>
      </c>
      <c r="C38" s="33" t="s">
        <v>65</v>
      </c>
      <c r="D38" s="33" t="s">
        <v>66</v>
      </c>
      <c r="E38" s="33" t="s">
        <v>67</v>
      </c>
      <c r="F38" s="34" t="s">
        <v>68</v>
      </c>
      <c r="G38" s="12"/>
      <c r="H38" s="12"/>
    </row>
    <row r="39" spans="1:8" s="7" customFormat="1" ht="12" x14ac:dyDescent="0.15"/>
    <row r="40" spans="1:8" s="7" customFormat="1" ht="12" x14ac:dyDescent="0.15"/>
    <row r="41" spans="1:8" s="7" customFormat="1" ht="12" x14ac:dyDescent="0.15"/>
    <row r="42" spans="1:8" s="7" customFormat="1" ht="12" x14ac:dyDescent="0.15"/>
  </sheetData>
  <sheetProtection selectLockedCells="1"/>
  <mergeCells count="18">
    <mergeCell ref="B7:H7"/>
    <mergeCell ref="A1:H1"/>
    <mergeCell ref="G2:H2"/>
    <mergeCell ref="B4:F4"/>
    <mergeCell ref="B5:H5"/>
    <mergeCell ref="B6:H6"/>
    <mergeCell ref="B32:F32"/>
    <mergeCell ref="B8:H8"/>
    <mergeCell ref="C11:G11"/>
    <mergeCell ref="B12:B13"/>
    <mergeCell ref="B14:B15"/>
    <mergeCell ref="B16:B17"/>
    <mergeCell ref="B18:B19"/>
    <mergeCell ref="B20:B21"/>
    <mergeCell ref="A22:G22"/>
    <mergeCell ref="A23:G23"/>
    <mergeCell ref="B26:H26"/>
    <mergeCell ref="B27:H27"/>
  </mergeCells>
  <printOptions horizontalCentered="1"/>
  <pageMargins left="0.11811023622047245" right="0.11811023622047245" top="1.1023622047244095" bottom="0.70866141732283472" header="0.11811023622047245" footer="0.11811023622047245"/>
  <pageSetup paperSize="9" scale="4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B6FFA5A43B7441AF9EFC25DCA92773" ma:contentTypeVersion="6" ma:contentTypeDescription="Create a new document." ma:contentTypeScope="" ma:versionID="7be7000195835464bb09c7ee742a719e">
  <xsd:schema xmlns:xsd="http://www.w3.org/2001/XMLSchema" xmlns:xs="http://www.w3.org/2001/XMLSchema" xmlns:p="http://schemas.microsoft.com/office/2006/metadata/properties" xmlns:ns2="02485d02-5944-4d7a-b43e-ed621eeee85e" xmlns:ns3="659599be-2159-48d4-9679-30522767d7fa" targetNamespace="http://schemas.microsoft.com/office/2006/metadata/properties" ma:root="true" ma:fieldsID="e04b6f6fb7c843a1347df7137e3a8700" ns2:_="" ns3:_="">
    <xsd:import namespace="02485d02-5944-4d7a-b43e-ed621eeee85e"/>
    <xsd:import namespace="659599be-2159-48d4-9679-30522767d7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485d02-5944-4d7a-b43e-ed621eeee8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9599be-2159-48d4-9679-30522767d7f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0FA9BB-8819-49A2-BBE9-AFA81F8CCB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462961-C3BE-4B35-96EB-B2D868415D29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schemas.microsoft.com/office/2006/metadata/properties"/>
    <ds:schemaRef ds:uri="http://purl.org/dc/elements/1.1/"/>
    <ds:schemaRef ds:uri="659599be-2159-48d4-9679-30522767d7fa"/>
    <ds:schemaRef ds:uri="http://schemas.openxmlformats.org/package/2006/metadata/core-properties"/>
    <ds:schemaRef ds:uri="02485d02-5944-4d7a-b43e-ed621eeee85e"/>
  </ds:schemaRefs>
</ds:datastoreItem>
</file>

<file path=customXml/itemProps3.xml><?xml version="1.0" encoding="utf-8"?>
<ds:datastoreItem xmlns:ds="http://schemas.openxmlformats.org/officeDocument/2006/customXml" ds:itemID="{32024BE3-9413-42EF-B019-DE932E448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485d02-5944-4d7a-b43e-ed621eeee85e"/>
    <ds:schemaRef ds:uri="659599be-2159-48d4-9679-30522767d7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Progress</vt:lpstr>
      <vt:lpstr>Progress - Week14</vt:lpstr>
      <vt:lpstr>Progress 1 - Topic Defense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Dalilah Abdullah</dc:creator>
  <cp:keywords/>
  <dc:description/>
  <cp:lastModifiedBy>MUHAMAD AZAM BIN RAZALI</cp:lastModifiedBy>
  <cp:revision/>
  <cp:lastPrinted>2025-11-05T08:23:20Z</cp:lastPrinted>
  <dcterms:created xsi:type="dcterms:W3CDTF">2021-01-20T02:23:50Z</dcterms:created>
  <dcterms:modified xsi:type="dcterms:W3CDTF">2026-05-11T04:11:50Z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0x010100EBB6FFA5A43B7441AF9EFC25DCA92773</vt:lpwstr>
  </property>
</Properties>
</file>